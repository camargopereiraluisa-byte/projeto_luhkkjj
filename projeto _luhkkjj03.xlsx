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59a14705ea7f7f/luh/Documentos/"/>
    </mc:Choice>
  </mc:AlternateContent>
  <xr:revisionPtr revIDLastSave="0" documentId="8_{82E94CCD-3599-48E9-92B8-0D059B96FC71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<sst xmlns="http://schemas.openxmlformats.org/spreadsheetml/2006/main" count="2022" uniqueCount="324">
  <si>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</si>
  <si>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</si>
  <si>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</si>
  <si>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</si>
  <si>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</si>
  <si>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</si>
  <si>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</si>
  <si>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</si>
  <si>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</si>
  <si>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</si>
  <si>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</si>
  <si>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</si>
  <si>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</si>
  <si>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</si>
  <si>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</si>
  <si>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</si>
  <si>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</si>
  <si>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</si>
  <si>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</si>
  <si>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</si>
  <si>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</si>
  <si>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</si>
  <si>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</si>
  <si>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</si>
  <si>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</si>
  <si>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</si>
  <si>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</si>
  <si>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</si>
  <si>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</si>
  <si>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</si>
  <si>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</si>
  <si>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</si>
  <si>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</si>
  <si>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</si>
  <si>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</si>
  <si>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</si>
  <si>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</si>
  <si>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</si>
  <si>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</si>
  <si>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</si>
  <si>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</si>
  <si>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</si>
  <si>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</si>
  <si>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</si>
  <si>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</si>
  <si>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</si>
  <si>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</si>
  <si>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</si>
  <si>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</si>
  <si>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</si>
  <si>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</si>
  <si>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</si>
  <si>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</si>
  <si>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</si>
  <si>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</si>
  <si>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</si>
  <si>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</si>
  <si>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</si>
  <si>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</si>
  <si>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</si>
  <si>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</si>
  <si>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</si>
  <si>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</si>
  <si>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</si>
  <si>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</si>
  <si>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</si>
  <si>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</si>
  <si>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</si>
  <si>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</si>
  <si>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</si>
  <si>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</si>
  <si>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</si>
  <si>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</si>
  <si>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</si>
  <si>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</si>
  <si>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</si>
  <si>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</si>
  <si>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</si>
  <si>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</si>
  <si>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</si>
  <si>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</si>
  <si>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</si>
  <si>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</si>
  <si>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</si>
  <si>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</si>
  <si>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</si>
  <si>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</si>
  <si>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</si>
  <si>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</si>
  <si>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</si>
  <si>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</si>
  <si>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</si>
  <si>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</si>
  <si>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</si>
  <si>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</si>
  <si>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</si>
  <si>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</si>
  <si>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</si>
  <si>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</si>
  <si>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</si>
  <si>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</si>
  <si>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</si>
  <si>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</si>
  <si>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</si>
  <si>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</si>
  <si>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</si>
  <si>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</si>
  <si>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</si>
  <si>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</si>
  <si>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</si>
  <si>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</si>
  <si>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</si>
  <si>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</si>
  <si>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</si>
  <si>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</si>
  <si>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</si>
  <si>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</si>
  <si>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</si>
  <si>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</si>
  <si>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</si>
  <si>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</si>
  <si>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</si>
  <si>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</si>
  <si>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</si>
  <si>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</si>
  <si>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</si>
  <si>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</si>
  <si>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</si>
  <si>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</si>
  <si>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</si>
  <si>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</si>
  <si>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</si>
  <si>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</si>
  <si>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</si>
  <si>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</si>
  <si>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</si>
  <si>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</si>
  <si>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</si>
  <si>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</si>
  <si>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</si>
  <si>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</si>
  <si>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</si>
  <si>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</si>
  <si>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</si>
  <si>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</si>
  <si>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</si>
  <si>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</si>
  <si>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</si>
  <si>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</si>
  <si>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</si>
  <si>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</si>
  <si>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</si>
  <si>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</si>
  <si>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</si>
  <si>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</si>
  <si>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</si>
  <si>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</si>
  <si>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</si>
  <si>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</si>
  <si>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</si>
  <si>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</si>
  <si>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</si>
  <si>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</si>
  <si>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</si>
  <si>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</si>
  <si>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</si>
  <si>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</si>
  <si>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</si>
  <si>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</si>
  <si>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</si>
  <si>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</si>
  <si>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</si>
  <si>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</si>
  <si>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</si>
  <si>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</si>
  <si>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</si>
  <si>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</si>
  <si>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</si>
  <si>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</si>
  <si>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</si>
  <si>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</si>
  <si>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</si>
  <si>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</si>
  <si>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</si>
  <si>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</si>
  <si>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</si>
  <si>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</si>
  <si>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</si>
  <si>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</si>
  <si>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</si>
  <si>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</si>
  <si>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</si>
  <si>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</si>
  <si>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</si>
  <si>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</si>
  <si>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</si>
  <si>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</si>
  <si>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</si>
  <si>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</si>
  <si>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</si>
  <si>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</si>
  <si>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</si>
  <si>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</si>
  <si>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</si>
  <si>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</si>
  <si>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</si>
  <si>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</si>
  <si>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</si>
  <si>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</si>
  <si>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</si>
  <si>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</si>
  <si>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</si>
  <si>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</si>
  <si>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</si>
  <si>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</si>
  <si>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</si>
  <si>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</si>
  <si>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</si>
  <si>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</si>
  <si>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</si>
  <si>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</si>
  <si>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</si>
  <si>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</si>
  <si>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</si>
  <si>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</si>
  <si>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</si>
  <si>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</si>
  <si>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</si>
  <si>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</si>
  <si>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</si>
  <si>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</si>
  <si>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</si>
  <si>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</si>
  <si>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</si>
  <si>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</si>
  <si>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</si>
  <si>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</si>
  <si>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</si>
  <si>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</si>
  <si>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</si>
  <si>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</si>
  <si>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</si>
  <si>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</si>
  <si>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</si>
  <si>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</si>
  <si>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</si>
  <si>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</si>
  <si>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</si>
  <si>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</si>
  <si>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</si>
  <si>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</si>
  <si>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</si>
  <si>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</si>
  <si>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</si>
  <si>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</si>
  <si>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</si>
  <si>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</si>
  <si>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</si>
  <si>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</si>
  <si>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</si>
  <si>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</si>
  <si>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</si>
  <si>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</si>
  <si>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</si>
  <si>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</si>
  <si>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</si>
  <si>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</si>
  <si>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</si>
  <si>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</si>
  <si>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</si>
  <si>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</si>
  <si>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</si>
  <si>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</si>
  <si>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</si>
  <si>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</si>
  <si>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</si>
  <si>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</si>
  <si>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</si>
  <si>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</si>
  <si>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</si>
  <si>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</si>
  <si>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</si>
  <si>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</si>
  <si>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</si>
  <si>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</si>
  <si>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</si>
  <si>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</si>
  <si>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</si>
  <si>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</si>
  <si>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</si>
  <si>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</si>
  <si>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</si>
  <si>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</si>
  <si>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</si>
  <si>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</si>
  <si>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</si>
  <si>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</si>
  <si>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</si>
  <si>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</si>
  <si>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</si>
  <si>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</si>
  <si>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</si>
  <si>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</si>
  <si>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</si>
  <si>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</si>
  <si>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</si>
  <si>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</si>
  <si>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</si>
  <si>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</si>
  <si>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</si>
  <si>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</si>
  <si>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</si>
  <si>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</si>
  <si>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</si>
  <si>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</si>
  <si>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</si>
  <si>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1- qual faturamento total de vendas de planos anuais (contendo todas as assinaturas anuais agregadas)</t>
  </si>
  <si>
    <t>Pergunta de negócio 2- qual faturamento total de vendas de planos anuais, separado por auto renovação e não auto renovação</t>
  </si>
  <si>
    <t>XBOX GAME PASS SUBSCRIPTIONS SALES</t>
  </si>
  <si>
    <t>Pergunta de negócio 3- total de vendas de Assinaturas do EA Play</t>
  </si>
  <si>
    <t>Soma de EA Play Season Pass</t>
  </si>
  <si>
    <t>Pergunta de negócio 4- total de vendas de Assinaturas do MINECRAFT</t>
  </si>
  <si>
    <t>Soma de Minecraft Season Pass Price</t>
  </si>
  <si>
    <t>Collection period: 01/01/2024 - 31/12/2024 |Updade date: 26/12/2024 09:00h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</si>
</sst>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70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9" tint="-0.249977111117893"/>
      <name val="Aptos Narrow"/>
      <family val="2"/>
      <scheme val="minor"/>
    </font>
    <font>
      <b/>
      <sz val="15"/>
      <color theme="9" tint="-0.249977111117893"/>
      <name val="Segoe UI"/>
      <family val="2"/>
    </font>
    <font>
      <i/>
      <sz val="11"/>
      <color theme="1"/>
      <name val="Aptos Narrow"/>
      <family val="2"/>
      <scheme val="minor"/>
    </font>
    <font>
      <i/>
      <sz val="10"/>
      <color theme="0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9" borderId="0" xfId="0" applyFill="1"/>
    <xf numFmtId="0" fontId="5" fillId="9" borderId="2" xfId="1" applyFont="1" applyFill="1" applyBorder="1"/>
    <xf numFmtId="0" fontId="4" fillId="9" borderId="2" xfId="1" applyFont="1" applyFill="1" applyBorder="1"/>
    <xf numFmtId="0" fontId="1" fillId="9" borderId="2" xfId="1" applyFill="1" applyBorder="1"/>
    <xf numFmtId="0" fontId="0" fillId="0" borderId="0" xfId="0" applyNumberFormat="1"/>
    <xf numFmtId="0" fontId="6" fillId="7" borderId="0" xfId="0" applyFont="1" applyFill="1"/>
    <xf numFmtId="170" fontId="0" fillId="0" borderId="0" xfId="0" applyNumberFormat="1" applyAlignment="1">
      <alignment horizontal="center"/>
    </xf>
    <xf numFmtId="170" fontId="0" fillId="0" borderId="0" xfId="0" applyNumberFormat="1"/>
    <xf numFmtId="0" fontId="1" fillId="0" borderId="2" xfId="1" applyBorder="1" applyAlignment="1">
      <alignment horizontal="center"/>
    </xf>
    <xf numFmtId="0" fontId="5" fillId="9" borderId="2" xfId="1" applyFont="1" applyFill="1" applyBorder="1" applyAlignment="1">
      <alignment horizontal="left" indent="3"/>
    </xf>
    <xf numFmtId="0" fontId="7" fillId="7" borderId="0" xfId="0" applyFont="1" applyFill="1" applyAlignment="1">
      <alignment vertical="top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theme="6" tint="0.3999450666829432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6BC9A32F-01C0-40A7-AE1F-2110464DC070}">
      <tableStyleElement type="wholeTable" dxfId="1"/>
      <tableStyleElement type="headerRow" dxfId="0"/>
    </tableStyle>
  </tableStyles>
  <colors>
    <mruColors>
      <color rgb="FF5BF6A8"/>
      <color rgb="FF2AE6B1"/>
      <color rgb="FFE8E6E9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_luhkkjj03.xlsx]C̳álculos!Tabela dinâmica1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E-4EDC-AD14-E5798C464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6990591"/>
        <c:axId val="1450309967"/>
      </c:barChart>
      <c:catAx>
        <c:axId val="141699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0309967"/>
        <c:crosses val="autoZero"/>
        <c:auto val="1"/>
        <c:lblAlgn val="ctr"/>
        <c:lblOffset val="100"/>
        <c:noMultiLvlLbl val="0"/>
      </c:catAx>
      <c:valAx>
        <c:axId val="145030996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1699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6E9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_luhkkjj03.xlsx]C̳álculos!Tabela dinâmica1</c:name>
    <c:fmtId val="11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469865837011934E-2"/>
          <c:y val="3.5820871029223114E-2"/>
          <c:w val="0.86067838512705941"/>
          <c:h val="0.964179128970776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D-4EFA-A181-BD3443451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6990591"/>
        <c:axId val="1450309967"/>
      </c:barChart>
      <c:catAx>
        <c:axId val="141699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450309967"/>
        <c:crosses val="autoZero"/>
        <c:auto val="1"/>
        <c:lblAlgn val="ctr"/>
        <c:lblOffset val="100"/>
        <c:noMultiLvlLbl val="0"/>
      </c:catAx>
      <c:valAx>
        <c:axId val="1450309967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1699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36059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131308</xdr:rowOff>
    </xdr:from>
    <xdr:to>
      <xdr:col>4</xdr:col>
      <xdr:colOff>168351</xdr:colOff>
      <xdr:row>31</xdr:row>
      <xdr:rowOff>121784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996" y="5353049"/>
          <a:ext cx="1557641" cy="738869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1981200</xdr:colOff>
      <xdr:row>7</xdr:row>
      <xdr:rowOff>14287</xdr:rowOff>
    </xdr:from>
    <xdr:to>
      <xdr:col>8</xdr:col>
      <xdr:colOff>447675</xdr:colOff>
      <xdr:row>21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2E7A5F-F121-E3E8-89AE-4657B9885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142876</xdr:colOff>
      <xdr:row>7</xdr:row>
      <xdr:rowOff>9525</xdr:rowOff>
    </xdr:from>
    <xdr:to>
      <xdr:col>3</xdr:col>
      <xdr:colOff>1533526</xdr:colOff>
      <xdr:row>13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FE073E4B-DC11-A186-7ED8-9EDC52018A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4351" y="1343025"/>
              <a:ext cx="139065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252471</xdr:colOff>
      <xdr:row>1</xdr:row>
      <xdr:rowOff>126235</xdr:rowOff>
    </xdr:from>
    <xdr:to>
      <xdr:col>1</xdr:col>
      <xdr:colOff>309851</xdr:colOff>
      <xdr:row>4</xdr:row>
      <xdr:rowOff>15259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117F4A-048A-4E4B-A9FA-D99834670E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12812" r="71123" b="16139"/>
        <a:stretch>
          <a:fillRect/>
        </a:stretch>
      </xdr:blipFill>
      <xdr:spPr>
        <a:xfrm>
          <a:off x="252471" y="1526295"/>
          <a:ext cx="504940" cy="589054"/>
        </a:xfrm>
        <a:prstGeom prst="rect">
          <a:avLst/>
        </a:prstGeom>
      </xdr:spPr>
    </xdr:pic>
    <xdr:clientData fLocksWithSheet="0"/>
  </xdr:twoCellAnchor>
  <xdr:twoCellAnchor editAs="absolute">
    <xdr:from>
      <xdr:col>1</xdr:col>
      <xdr:colOff>2839</xdr:colOff>
      <xdr:row>13</xdr:row>
      <xdr:rowOff>14978</xdr:rowOff>
    </xdr:from>
    <xdr:to>
      <xdr:col>16</xdr:col>
      <xdr:colOff>26990</xdr:colOff>
      <xdr:row>34</xdr:row>
      <xdr:rowOff>101498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D3D7C779-8DBC-EB70-63D8-D46715B793B7}"/>
            </a:ext>
          </a:extLst>
        </xdr:cNvPr>
        <xdr:cNvGrpSpPr/>
      </xdr:nvGrpSpPr>
      <xdr:grpSpPr>
        <a:xfrm>
          <a:off x="454666" y="4081420"/>
          <a:ext cx="9231651" cy="4189597"/>
          <a:chOff x="392906" y="2155031"/>
          <a:chExt cx="5464969" cy="3357562"/>
        </a:xfrm>
        <a:solidFill>
          <a:schemeClr val="bg1"/>
        </a:solidFill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17C601F-FFF9-F061-49D6-5AF4BDA3BF0A}"/>
              </a:ext>
            </a:extLst>
          </xdr:cNvPr>
          <xdr:cNvSpPr/>
        </xdr:nvSpPr>
        <xdr:spPr>
          <a:xfrm>
            <a:off x="392906" y="2155031"/>
            <a:ext cx="5464969" cy="3357562"/>
          </a:xfrm>
          <a:prstGeom prst="roundRect">
            <a:avLst>
              <a:gd name="adj" fmla="val 166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4D9E6602-336F-43A0-B950-ACA0A18097D8}"/>
              </a:ext>
            </a:extLst>
          </xdr:cNvPr>
          <xdr:cNvGraphicFramePr>
            <a:graphicFrameLocks/>
          </xdr:cNvGraphicFramePr>
        </xdr:nvGraphicFramePr>
        <xdr:xfrm>
          <a:off x="452707" y="2281948"/>
          <a:ext cx="5342896" cy="31476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4</xdr:col>
      <xdr:colOff>183614</xdr:colOff>
      <xdr:row>0</xdr:row>
      <xdr:rowOff>120458</xdr:rowOff>
    </xdr:from>
    <xdr:to>
      <xdr:col>9</xdr:col>
      <xdr:colOff>344276</xdr:colOff>
      <xdr:row>0</xdr:row>
      <xdr:rowOff>1354157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 1">
              <a:extLst>
                <a:ext uri="{FF2B5EF4-FFF2-40B4-BE49-F238E27FC236}">
                  <a16:creationId xmlns:a16="http://schemas.microsoft.com/office/drawing/2014/main" id="{523B50C1-6F17-4820-8C79-06471EE026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6306" y="120458"/>
              <a:ext cx="3213547" cy="1233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2840</xdr:colOff>
      <xdr:row>5</xdr:row>
      <xdr:rowOff>198032</xdr:rowOff>
    </xdr:from>
    <xdr:to>
      <xdr:col>8</xdr:col>
      <xdr:colOff>229358</xdr:colOff>
      <xdr:row>12</xdr:row>
      <xdr:rowOff>65157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69148DFC-A085-8D25-EDB4-CFD81B9C1A2F}"/>
            </a:ext>
          </a:extLst>
        </xdr:cNvPr>
        <xdr:cNvGrpSpPr/>
      </xdr:nvGrpSpPr>
      <xdr:grpSpPr>
        <a:xfrm>
          <a:off x="454667" y="2542647"/>
          <a:ext cx="4219691" cy="1393568"/>
          <a:chOff x="482612" y="2544811"/>
          <a:chExt cx="4251025" cy="1360438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82A1E235-EB0F-6818-6ECD-2127C493A7A3}"/>
              </a:ext>
            </a:extLst>
          </xdr:cNvPr>
          <xdr:cNvGrpSpPr/>
        </xdr:nvGrpSpPr>
        <xdr:grpSpPr>
          <a:xfrm>
            <a:off x="482612" y="2544811"/>
            <a:ext cx="4251025" cy="1153584"/>
            <a:chOff x="609612" y="2555394"/>
            <a:chExt cx="4251025" cy="1153584"/>
          </a:xfrm>
        </xdr:grpSpPr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E81D8AC5-A8BF-4C49-A881-AE55B27275A7}"/>
                </a:ext>
              </a:extLst>
            </xdr:cNvPr>
            <xdr:cNvGrpSpPr/>
          </xdr:nvGrpSpPr>
          <xdr:grpSpPr>
            <a:xfrm>
              <a:off x="609612" y="2703859"/>
              <a:ext cx="4251024" cy="1005119"/>
              <a:chOff x="7272466" y="2818886"/>
              <a:chExt cx="3758513" cy="1557465"/>
            </a:xfrm>
          </xdr:grpSpPr>
          <xdr:sp macro="" textlink="">
            <xdr:nvSpPr>
              <xdr:cNvPr id="11" name="Retângulo: Cantos Arredondados 10">
                <a:extLst>
                  <a:ext uri="{FF2B5EF4-FFF2-40B4-BE49-F238E27FC236}">
                    <a16:creationId xmlns:a16="http://schemas.microsoft.com/office/drawing/2014/main" id="{FE8E1544-3669-DFA4-2972-8C4F1D04F009}"/>
                  </a:ext>
                </a:extLst>
              </xdr:cNvPr>
              <xdr:cNvSpPr/>
            </xdr:nvSpPr>
            <xdr:spPr>
              <a:xfrm>
                <a:off x="7272466" y="2818886"/>
                <a:ext cx="3758513" cy="1557465"/>
              </a:xfrm>
              <a:prstGeom prst="roundRect">
                <a:avLst>
                  <a:gd name="adj" fmla="val 614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E25">
            <xdr:nvSpPr>
              <xdr:cNvPr id="12" name="Retângulo: Cantos Arredondados 11">
                <a:extLst>
                  <a:ext uri="{FF2B5EF4-FFF2-40B4-BE49-F238E27FC236}">
                    <a16:creationId xmlns:a16="http://schemas.microsoft.com/office/drawing/2014/main" id="{C2004E4B-61DB-4FB7-BDC2-AD869C99E80C}"/>
                  </a:ext>
                </a:extLst>
              </xdr:cNvPr>
              <xdr:cNvSpPr/>
            </xdr:nvSpPr>
            <xdr:spPr>
              <a:xfrm>
                <a:off x="8544455" y="3284625"/>
                <a:ext cx="2267706" cy="898650"/>
              </a:xfrm>
              <a:prstGeom prst="roundRect">
                <a:avLst>
                  <a:gd name="adj" fmla="val 10882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13D84F3A-5A11-45D3-BA00-7DF46B61BC25}" type="TxLink">
                  <a:rPr lang="en-US" sz="3200" b="1" i="0" u="none" strike="noStrike">
                    <a:solidFill>
                      <a:srgbClr val="000000"/>
                    </a:solidFill>
                    <a:effectLst/>
                    <a:latin typeface="Segoe UI" panose="020B0502040204020203" pitchFamily="34" charset="0"/>
                    <a:cs typeface="Segoe UI" panose="020B0502040204020203" pitchFamily="34" charset="0"/>
                  </a:rPr>
                  <a:t>R$ 990,00</a:t>
                </a:fld>
                <a:endParaRPr lang="pt-BR" sz="6000" b="1" i="1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989D3F21-1AC9-08E8-1E4B-FBCE81FEEB2D}"/>
                </a:ext>
              </a:extLst>
            </xdr:cNvPr>
            <xdr:cNvSpPr/>
          </xdr:nvSpPr>
          <xdr:spPr>
            <a:xfrm>
              <a:off x="613833" y="2555394"/>
              <a:ext cx="4246804" cy="349250"/>
            </a:xfrm>
            <a:prstGeom prst="roundRect">
              <a:avLst>
                <a:gd name="adj" fmla="val 11262"/>
              </a:avLst>
            </a:prstGeom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EA PLAY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DE89434B-6ADC-46D6-B0AE-EA25B54EA0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6166" y="2730499"/>
            <a:ext cx="1228821" cy="1174750"/>
          </a:xfrm>
          <a:prstGeom prst="rect">
            <a:avLst/>
          </a:prstGeom>
        </xdr:spPr>
      </xdr:pic>
    </xdr:grpSp>
    <xdr:clientData/>
  </xdr:twoCellAnchor>
  <xdr:twoCellAnchor editAs="absolute">
    <xdr:from>
      <xdr:col>9</xdr:col>
      <xdr:colOff>391578</xdr:colOff>
      <xdr:row>5</xdr:row>
      <xdr:rowOff>193221</xdr:rowOff>
    </xdr:from>
    <xdr:to>
      <xdr:col>16</xdr:col>
      <xdr:colOff>24445</xdr:colOff>
      <xdr:row>11</xdr:row>
      <xdr:rowOff>43992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CE1D0F07-D2B7-F5EC-D158-9BEBD70B690F}"/>
            </a:ext>
          </a:extLst>
        </xdr:cNvPr>
        <xdr:cNvGrpSpPr/>
      </xdr:nvGrpSpPr>
      <xdr:grpSpPr>
        <a:xfrm>
          <a:off x="5447155" y="2537836"/>
          <a:ext cx="4236617" cy="1181829"/>
          <a:chOff x="5513910" y="2540000"/>
          <a:chExt cx="4251025" cy="1153584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27EC7B8E-CD8C-6A93-10DE-462EFBB0DD41}"/>
              </a:ext>
            </a:extLst>
          </xdr:cNvPr>
          <xdr:cNvGrpSpPr/>
        </xdr:nvGrpSpPr>
        <xdr:grpSpPr>
          <a:xfrm>
            <a:off x="5513910" y="2540000"/>
            <a:ext cx="4251025" cy="1153584"/>
            <a:chOff x="609612" y="2555394"/>
            <a:chExt cx="4251025" cy="1153584"/>
          </a:xfrm>
        </xdr:grpSpPr>
        <xdr:grpSp>
          <xdr:nvGrpSpPr>
            <xdr:cNvPr id="23" name="Agrupar 22">
              <a:extLst>
                <a:ext uri="{FF2B5EF4-FFF2-40B4-BE49-F238E27FC236}">
                  <a16:creationId xmlns:a16="http://schemas.microsoft.com/office/drawing/2014/main" id="{CAB56C49-E508-43DD-05EB-7F49AEC01A41}"/>
                </a:ext>
              </a:extLst>
            </xdr:cNvPr>
            <xdr:cNvGrpSpPr/>
          </xdr:nvGrpSpPr>
          <xdr:grpSpPr>
            <a:xfrm>
              <a:off x="609612" y="2703859"/>
              <a:ext cx="4251024" cy="1005119"/>
              <a:chOff x="7272466" y="2818886"/>
              <a:chExt cx="3758513" cy="1557465"/>
            </a:xfrm>
          </xdr:grpSpPr>
          <xdr:sp macro="" textlink="">
            <xdr:nvSpPr>
              <xdr:cNvPr id="25" name="Retângulo: Cantos Arredondados 24">
                <a:extLst>
                  <a:ext uri="{FF2B5EF4-FFF2-40B4-BE49-F238E27FC236}">
                    <a16:creationId xmlns:a16="http://schemas.microsoft.com/office/drawing/2014/main" id="{D8CC5AE9-E0D4-B4EF-F43D-E9930F3F1858}"/>
                  </a:ext>
                </a:extLst>
              </xdr:cNvPr>
              <xdr:cNvSpPr/>
            </xdr:nvSpPr>
            <xdr:spPr>
              <a:xfrm>
                <a:off x="7272466" y="2818886"/>
                <a:ext cx="3758513" cy="1557465"/>
              </a:xfrm>
              <a:prstGeom prst="roundRect">
                <a:avLst>
                  <a:gd name="adj" fmla="val 614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E33">
            <xdr:nvSpPr>
              <xdr:cNvPr id="26" name="Retângulo: Cantos Arredondados 25">
                <a:extLst>
                  <a:ext uri="{FF2B5EF4-FFF2-40B4-BE49-F238E27FC236}">
                    <a16:creationId xmlns:a16="http://schemas.microsoft.com/office/drawing/2014/main" id="{11D7CA9C-6429-F927-5FEA-39EF41ACDCD4}"/>
                  </a:ext>
                </a:extLst>
              </xdr:cNvPr>
              <xdr:cNvSpPr/>
            </xdr:nvSpPr>
            <xdr:spPr>
              <a:xfrm>
                <a:off x="8544455" y="3284625"/>
                <a:ext cx="2267706" cy="898650"/>
              </a:xfrm>
              <a:prstGeom prst="roundRect">
                <a:avLst>
                  <a:gd name="adj" fmla="val 10882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D23940DF-ECCE-4240-BD7E-DD3DD929ABE7}" type="TxLink">
                  <a:rPr lang="en-US" sz="3600" b="1" i="0" u="none" strike="noStrike">
                    <a:solidFill>
                      <a:srgbClr val="000000"/>
                    </a:solidFill>
                    <a:effectLst/>
                    <a:latin typeface="Aptos Narrow"/>
                    <a:cs typeface="Segoe UI" panose="020B0502040204020203" pitchFamily="34" charset="0"/>
                  </a:rPr>
                  <a:t>R$ 1.140,00</a:t>
                </a:fld>
                <a:endParaRPr lang="pt-BR" sz="19900" b="1" i="1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24" name="Retângulo: Cantos Arredondados 23">
              <a:extLst>
                <a:ext uri="{FF2B5EF4-FFF2-40B4-BE49-F238E27FC236}">
                  <a16:creationId xmlns:a16="http://schemas.microsoft.com/office/drawing/2014/main" id="{86DD19EB-2067-4A86-FEE2-1C8CE75AB6BF}"/>
                </a:ext>
              </a:extLst>
            </xdr:cNvPr>
            <xdr:cNvSpPr/>
          </xdr:nvSpPr>
          <xdr:spPr>
            <a:xfrm>
              <a:off x="613833" y="2555394"/>
              <a:ext cx="4246804" cy="349250"/>
            </a:xfrm>
            <a:prstGeom prst="roundRect">
              <a:avLst>
                <a:gd name="adj" fmla="val 11262"/>
              </a:avLst>
            </a:prstGeom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5DF35964-67CD-4116-811E-1ED1FEA604D7}"/>
              </a:ext>
            </a:extLst>
          </xdr:cNvPr>
          <xdr:cNvGrpSpPr/>
        </xdr:nvGrpSpPr>
        <xdr:grpSpPr>
          <a:xfrm>
            <a:off x="5640916" y="2963332"/>
            <a:ext cx="1242559" cy="625475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2575C924-29F4-C964-28CD-950F4F2BED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28">
              <a:extLst>
                <a:ext uri="{FF2B5EF4-FFF2-40B4-BE49-F238E27FC236}">
                  <a16:creationId xmlns:a16="http://schemas.microsoft.com/office/drawing/2014/main" id="{7A557546-DE15-BFEC-BE45-99A874E096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2839</xdr:colOff>
      <xdr:row>12</xdr:row>
      <xdr:rowOff>186164</xdr:rowOff>
    </xdr:from>
    <xdr:to>
      <xdr:col>16</xdr:col>
      <xdr:colOff>26990</xdr:colOff>
      <xdr:row>15</xdr:row>
      <xdr:rowOff>81548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397D2619-A6CE-C536-5E6F-18F3B493239D}"/>
            </a:ext>
          </a:extLst>
        </xdr:cNvPr>
        <xdr:cNvSpPr/>
      </xdr:nvSpPr>
      <xdr:spPr>
        <a:xfrm>
          <a:off x="447339" y="4019299"/>
          <a:ext cx="9216000" cy="469319"/>
        </a:xfrm>
        <a:prstGeom prst="roundRect">
          <a:avLst>
            <a:gd name="adj" fmla="val 9849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TOTAL SUBSCRIPTIONS XBOX</a:t>
          </a:r>
          <a:r>
            <a:rPr lang="pt-BR" sz="1600" b="1" baseline="0">
              <a:latin typeface="Segoe UI" panose="020B0502040204020203" pitchFamily="34" charset="0"/>
              <a:cs typeface="Segoe UI" panose="020B0502040204020203" pitchFamily="34" charset="0"/>
            </a:rPr>
            <a:t> GAME PASS</a:t>
          </a:r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121355</xdr:colOff>
      <xdr:row>0</xdr:row>
      <xdr:rowOff>271646</xdr:rowOff>
    </xdr:from>
    <xdr:to>
      <xdr:col>2</xdr:col>
      <xdr:colOff>580554</xdr:colOff>
      <xdr:row>0</xdr:row>
      <xdr:rowOff>955646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9D0AE9D3-3762-4B29-9415-2E4840039732}"/>
            </a:ext>
          </a:extLst>
        </xdr:cNvPr>
        <xdr:cNvSpPr/>
      </xdr:nvSpPr>
      <xdr:spPr>
        <a:xfrm>
          <a:off x="568915" y="271646"/>
          <a:ext cx="792000" cy="6840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1015044</xdr:rowOff>
    </xdr:from>
    <xdr:to>
      <xdr:col>4</xdr:col>
      <xdr:colOff>36000</xdr:colOff>
      <xdr:row>0</xdr:row>
      <xdr:rowOff>1303044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BAF4DEDA-82CD-2245-5C23-8152530B472E}"/>
            </a:ext>
          </a:extLst>
        </xdr:cNvPr>
        <xdr:cNvSpPr/>
      </xdr:nvSpPr>
      <xdr:spPr>
        <a:xfrm>
          <a:off x="0" y="1015044"/>
          <a:ext cx="2032807" cy="28800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/>
              </a:solidFill>
            </a:rPr>
            <a:t>BOAS VINDAS,</a:t>
          </a:r>
          <a:r>
            <a:rPr lang="pt-BR" sz="1050" b="1" baseline="0">
              <a:solidFill>
                <a:schemeClr val="bg1"/>
              </a:solidFill>
            </a:rPr>
            <a:t> LUÍSA</a:t>
          </a:r>
          <a:endParaRPr lang="pt-BR" sz="105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ísa Camargo" refreshedDate="46309.963454861114" createdVersion="8" refreshedVersion="8" minRefreshableVersion="3" recordCount="295" xr:uid="{61B1B57C-1521-416E-8DC0-1EB2539BEF3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359992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2326C-26D8-4987-9103-093799E4D7B9}" name="Tabela dinâ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31:C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0A9B6-86DD-4F95-A806-8D0533783895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20:C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1F86D-8707-4B5D-AF28-07B113DDEB8E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89174BD-6C3A-499B-9060-13CD4AA70B88}" sourceName="Subscription Type">
  <pivotTables>
    <pivotTable tabId="3" name="Tabela dinâmica1"/>
    <pivotTable tabId="3" name="Tabela dinâmica3"/>
    <pivotTable tabId="3" name="Tabela dinâmica4"/>
  </pivotTables>
  <data>
    <tabular pivotCacheId="213599924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4B7BB00-602C-464B-8729-A986AD3109FB}" cache="SegmentaçãodeDados_Subscription_Type" caption="Subscription Type" style="SlicerStyleLight6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1636AE12-2C91-4BD6-B512-21B1A039825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="112" zoomScaleNormal="100" workbookViewId="0">
      <selection activeCell="F11" sqref="F1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F11" sqref="F1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E35"/>
  <sheetViews>
    <sheetView showGridLines="0" topLeftCell="A22" workbookViewId="0">
      <selection activeCell="F11" sqref="F11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0.71093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 x14ac:dyDescent="0.25">
      <c r="B5" t="s">
        <v>316</v>
      </c>
    </row>
    <row r="6" spans="2:3" x14ac:dyDescent="0.25">
      <c r="B6" t="s">
        <v>317</v>
      </c>
    </row>
    <row r="8" spans="2:3" x14ac:dyDescent="0.25">
      <c r="B8" s="12" t="s">
        <v>16</v>
      </c>
      <c r="C8" t="s">
        <v>27</v>
      </c>
    </row>
    <row r="10" spans="2:3" x14ac:dyDescent="0.25">
      <c r="B10" s="12" t="s">
        <v>313</v>
      </c>
      <c r="C10" t="s">
        <v>315</v>
      </c>
    </row>
    <row r="11" spans="2:3" x14ac:dyDescent="0.25">
      <c r="B11" s="13" t="s">
        <v>23</v>
      </c>
      <c r="C11" s="14">
        <v>806</v>
      </c>
    </row>
    <row r="12" spans="2:3" x14ac:dyDescent="0.25">
      <c r="B12" s="13" t="s">
        <v>19</v>
      </c>
      <c r="C12" s="14">
        <v>1502</v>
      </c>
    </row>
    <row r="13" spans="2:3" x14ac:dyDescent="0.25">
      <c r="B13" s="13" t="s">
        <v>314</v>
      </c>
      <c r="C13" s="14">
        <v>2308</v>
      </c>
    </row>
    <row r="16" spans="2:3" x14ac:dyDescent="0.25">
      <c r="B16" s="13" t="s">
        <v>319</v>
      </c>
    </row>
    <row r="18" spans="2:5" x14ac:dyDescent="0.25">
      <c r="B18" s="12" t="s">
        <v>16</v>
      </c>
      <c r="C18" t="s">
        <v>27</v>
      </c>
    </row>
    <row r="20" spans="2:5" x14ac:dyDescent="0.25">
      <c r="B20" s="12" t="s">
        <v>313</v>
      </c>
      <c r="C20" t="s">
        <v>320</v>
      </c>
    </row>
    <row r="21" spans="2:5" x14ac:dyDescent="0.25">
      <c r="B21" s="13" t="s">
        <v>22</v>
      </c>
      <c r="C21" s="20">
        <v>0</v>
      </c>
    </row>
    <row r="22" spans="2:5" x14ac:dyDescent="0.25">
      <c r="B22" s="13" t="s">
        <v>26</v>
      </c>
      <c r="C22" s="20">
        <v>0</v>
      </c>
    </row>
    <row r="23" spans="2:5" x14ac:dyDescent="0.25">
      <c r="B23" s="13" t="s">
        <v>18</v>
      </c>
      <c r="C23" s="20">
        <v>990</v>
      </c>
    </row>
    <row r="24" spans="2:5" x14ac:dyDescent="0.25">
      <c r="B24" s="13" t="s">
        <v>314</v>
      </c>
      <c r="C24" s="20">
        <v>990</v>
      </c>
    </row>
    <row r="25" spans="2:5" x14ac:dyDescent="0.25">
      <c r="E25" s="22">
        <f>GETPIVOTDATA("EA Play Season Pass
Price",$B$20)</f>
        <v>990</v>
      </c>
    </row>
    <row r="27" spans="2:5" x14ac:dyDescent="0.25">
      <c r="B27" t="s">
        <v>321</v>
      </c>
    </row>
    <row r="29" spans="2:5" x14ac:dyDescent="0.25">
      <c r="B29" s="12" t="s">
        <v>16</v>
      </c>
      <c r="C29" t="s">
        <v>27</v>
      </c>
    </row>
    <row r="31" spans="2:5" x14ac:dyDescent="0.25">
      <c r="B31" s="12" t="s">
        <v>313</v>
      </c>
      <c r="C31" t="s">
        <v>322</v>
      </c>
    </row>
    <row r="32" spans="2:5" x14ac:dyDescent="0.25">
      <c r="B32" s="13" t="s">
        <v>22</v>
      </c>
      <c r="C32" s="14">
        <v>0</v>
      </c>
    </row>
    <row r="33" spans="2:5" x14ac:dyDescent="0.25">
      <c r="B33" s="13" t="s">
        <v>26</v>
      </c>
      <c r="C33" s="14">
        <v>480</v>
      </c>
      <c r="E33" s="23">
        <f>GETPIVOTDATA("Minecraft Season Pass Price",$B$31)</f>
        <v>1140</v>
      </c>
    </row>
    <row r="34" spans="2:5" x14ac:dyDescent="0.25">
      <c r="B34" s="13" t="s">
        <v>18</v>
      </c>
      <c r="C34" s="14">
        <v>660</v>
      </c>
    </row>
    <row r="35" spans="2:5" x14ac:dyDescent="0.25">
      <c r="B35" s="13" t="s">
        <v>314</v>
      </c>
      <c r="C35" s="14">
        <v>1140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B1:Q7"/>
  <sheetViews>
    <sheetView showGridLines="0" showRowColHeaders="0" tabSelected="1" zoomScale="78" zoomScaleNormal="115" workbookViewId="0">
      <selection activeCell="Q12" sqref="Q12"/>
    </sheetView>
  </sheetViews>
  <sheetFormatPr defaultRowHeight="15" x14ac:dyDescent="0.25"/>
  <cols>
    <col min="1" max="1" width="6.7109375" style="7" customWidth="1"/>
    <col min="2" max="2" width="5" style="7" customWidth="1"/>
    <col min="3" max="9" width="9.140625" style="7"/>
    <col min="10" max="10" width="9.85546875" style="7" customWidth="1"/>
    <col min="11" max="11" width="9.140625" style="7"/>
    <col min="12" max="12" width="8.5703125" style="7" customWidth="1"/>
    <col min="13" max="15" width="9.140625" style="7"/>
    <col min="16" max="16" width="14" style="7" customWidth="1"/>
    <col min="17" max="16384" width="9.140625" style="7"/>
  </cols>
  <sheetData>
    <row r="1" spans="2:17" s="15" customFormat="1" ht="110.25" customHeight="1" x14ac:dyDescent="0.25"/>
    <row r="2" spans="2:17" s="16" customFormat="1" x14ac:dyDescent="0.25"/>
    <row r="3" spans="2:17" s="16" customFormat="1" ht="24.75" thickBot="1" x14ac:dyDescent="0.5">
      <c r="B3" s="25" t="s">
        <v>318</v>
      </c>
      <c r="C3" s="17"/>
      <c r="D3" s="17"/>
      <c r="E3" s="17"/>
      <c r="F3" s="17"/>
      <c r="G3" s="17"/>
      <c r="H3" s="18"/>
      <c r="I3" s="19"/>
      <c r="J3" s="19"/>
      <c r="K3" s="19"/>
      <c r="L3" s="24"/>
      <c r="M3" s="24"/>
      <c r="N3" s="19"/>
      <c r="O3" s="19"/>
      <c r="P3" s="19"/>
    </row>
    <row r="4" spans="2:17" s="16" customFormat="1" ht="15.75" thickTop="1" x14ac:dyDescent="0.25"/>
    <row r="5" spans="2:17" ht="18" customHeight="1" x14ac:dyDescent="0.25">
      <c r="B5" s="26" t="s">
        <v>323</v>
      </c>
    </row>
    <row r="6" spans="2:17" ht="27.75" customHeight="1" x14ac:dyDescent="0.25">
      <c r="Q6" s="21"/>
    </row>
    <row r="7" spans="2:17" ht="1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Luísa Camargo</cp:lastModifiedBy>
  <dcterms:created xsi:type="dcterms:W3CDTF">2024-12-19T13:13:10Z</dcterms:created>
  <dcterms:modified xsi:type="dcterms:W3CDTF">2026-10-15T04:59:33Z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